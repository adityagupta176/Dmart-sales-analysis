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9" documentId="8_{5AD34E17-A6BF-48A4-BC3F-0C799CD27094}" xr6:coauthVersionLast="47" xr6:coauthVersionMax="47" xr10:uidLastSave="{6262F49D-D742-4EC9-9D59-3E5DB6D53949}"/>
  <bookViews>
    <workbookView xWindow="-108" yWindow="-108" windowWidth="23256" windowHeight="13896" activeTab="2" xr2:uid="{3C4665B5-0CDB-40B0-85E1-08D0CD438937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J6" i="4"/>
  <c r="H6" i="4"/>
  <c r="D2" i="4"/>
  <c r="E2" i="4" s="1"/>
  <c r="D3" i="4"/>
  <c r="E3" i="4" s="1"/>
  <c r="H3" i="4"/>
  <c r="J3" i="4"/>
  <c r="E9" i="4"/>
  <c r="E10" i="4"/>
  <c r="D4" i="4"/>
  <c r="E4" i="4" s="1"/>
  <c r="D5" i="4"/>
  <c r="E5" i="4" s="1"/>
  <c r="D6" i="4"/>
  <c r="E6" i="4" s="1"/>
  <c r="D7" i="4"/>
  <c r="E7" i="4" s="1"/>
  <c r="D8" i="4"/>
  <c r="E8" i="4" s="1"/>
  <c r="D9" i="4"/>
  <c r="D10" i="4"/>
  <c r="D11" i="4"/>
  <c r="E11" i="4" s="1"/>
  <c r="K4" i="3"/>
  <c r="F2" i="3"/>
  <c r="F3" i="3"/>
  <c r="F4" i="3"/>
  <c r="F5" i="3"/>
  <c r="F6" i="3"/>
  <c r="F7" i="3"/>
  <c r="F8" i="3"/>
  <c r="F9" i="3"/>
  <c r="F10" i="3"/>
  <c r="E2" i="3"/>
  <c r="E3" i="3"/>
  <c r="E4" i="3"/>
  <c r="E5" i="3"/>
  <c r="E6" i="3"/>
  <c r="E7" i="3"/>
  <c r="E8" i="3"/>
  <c r="E10" i="3"/>
  <c r="F2" i="2"/>
  <c r="F3" i="2"/>
  <c r="F4" i="2"/>
  <c r="F5" i="2"/>
  <c r="F6" i="2"/>
  <c r="F7" i="2"/>
  <c r="F8" i="2"/>
  <c r="F9" i="2"/>
  <c r="F10" i="2"/>
  <c r="F11" i="2"/>
  <c r="F3" i="1"/>
  <c r="F10" i="1"/>
  <c r="F6" i="1"/>
  <c r="F2" i="1"/>
  <c r="F9" i="1"/>
  <c r="F5" i="1"/>
  <c r="F7" i="1"/>
  <c r="F4" i="1"/>
  <c r="F8" i="1"/>
</calcChain>
</file>

<file path=xl/sharedStrings.xml><?xml version="1.0" encoding="utf-8"?>
<sst xmlns="http://schemas.openxmlformats.org/spreadsheetml/2006/main" count="126" uniqueCount="111">
  <si>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</si>
  <si>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</si>
  <si>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</si>
  <si>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</si>
  <si>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</si>
  <si>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</si>
  <si>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</si>
  <si>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</si>
  <si>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</si>
  <si>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</si>
  <si>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</si>
  <si>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</si>
  <si>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</si>
  <si>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</si>
  <si>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</si>
  <si>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</si>
  <si>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</si>
  <si>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Averege Score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</si>
  <si>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</si>
  <si>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</si>
  <si>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</si>
  <si>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</si>
  <si>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</si>
  <si>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</si>
  <si>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</si>
  <si>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</si>
  <si>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</si>
  <si>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</si>
  <si>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</si>
  <si>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</si>
  <si>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</si>
  <si>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</si>
  <si>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</si>
  <si>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</si>
  <si>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</si>
  <si>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</si>
  <si>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</si>
  <si>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</si>
  <si>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</si>
  <si>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</si>
  <si>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</si>
  <si>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Total Value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</si>
  <si>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</si>
  <si>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</si>
  <si>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</si>
  <si>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</si>
  <si>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</si>
  <si>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</si>
  <si>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</si>
  <si>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</si>
  <si>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</si>
  <si>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</si>
  <si>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</si>
  <si>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</si>
  <si>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</si>
  <si>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</si>
  <si>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</si>
  <si>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</si>
  <si>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</si>
  <si>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</si>
  <si>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Total Sales</t>
  </si>
  <si>
    <t>Average Sales</t>
  </si>
  <si>
    <t>Highest Sales</t>
  </si>
  <si>
    <t>Month eahre sales A exceeded 1000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</si>
  <si>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</si>
  <si>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</si>
  <si>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</si>
  <si>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</si>
  <si>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</si>
  <si>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</si>
  <si>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</si>
  <si>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</si>
  <si>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</si>
  <si>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</si>
  <si>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</si>
  <si>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</si>
  <si>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</si>
  <si>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</si>
  <si>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</si>
  <si>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</si>
  <si>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</si>
  <si>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</si>
  <si>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</si>
  <si>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Total Cost</t>
  </si>
  <si>
    <t>Total Revenue</t>
  </si>
  <si>
    <t>Categorize the product</t>
  </si>
  <si>
    <t>Profitable</t>
  </si>
  <si>
    <t>Not Profitable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</si>
  <si>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</si>
  <si>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</si>
  <si>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</si>
  <si>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</si>
  <si>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</si>
  <si>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</si>
  <si>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</si>
  <si>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11/20/2017</t>
  </si>
  <si>
    <t>Michael|Lee</t>
  </si>
  <si>
    <t>Sales</t>
  </si>
  <si>
    <t>Sarah|Wang</t>
  </si>
  <si>
    <t>Finance</t>
  </si>
  <si>
    <t>2/15/2018</t>
  </si>
  <si>
    <t>Daniel|Kim</t>
  </si>
  <si>
    <t>Jessica|Liu</t>
  </si>
  <si>
    <t>Ethan|Chen</t>
  </si>
  <si>
    <t>6/25/2017</t>
  </si>
  <si>
    <t>Sophia|Brown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</si>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</sst>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3" xfId="0" applyFont="1" applyFill="1" applyBorder="1"/>
    <xf numFmtId="0" fontId="0" fillId="0" borderId="2" xfId="0" applyBorder="1"/>
    <xf numFmtId="165" fontId="0" fillId="0" borderId="0" xfId="0" applyNumberFormat="1"/>
    <xf numFmtId="165" fontId="0" fillId="0" borderId="2" xfId="0" applyNumberFormat="1" applyBorder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  <a:r>
              <a:rPr lang="en-IN" baseline="0"/>
              <a:t> of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2'!$B$2:$B$11</c:f>
              <c:strCache>
                <c:ptCount val="10"/>
                <c:pt idx="0">
                  <c:v>Laptop</c:v>
                </c:pt>
                <c:pt idx="1">
                  <c:v>T-shirt</c:v>
                </c:pt>
                <c:pt idx="2">
                  <c:v>Smartphone</c:v>
                </c:pt>
                <c:pt idx="3">
                  <c:v>Headphones</c:v>
                </c:pt>
                <c:pt idx="4">
                  <c:v>Jeans</c:v>
                </c:pt>
                <c:pt idx="5">
                  <c:v>Tablet</c:v>
                </c:pt>
                <c:pt idx="6">
                  <c:v>Dress Shirt</c:v>
                </c:pt>
                <c:pt idx="7">
                  <c:v>Camera</c:v>
                </c:pt>
                <c:pt idx="8">
                  <c:v>Sneakers</c:v>
                </c:pt>
                <c:pt idx="9">
                  <c:v>Smart Watch</c:v>
                </c:pt>
              </c:strCache>
            </c:strRef>
          </c:cat>
          <c:val>
            <c:numRef>
              <c:f>'Task 2'!$E$2:$E$11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20</c:v>
                </c:pt>
                <c:pt idx="7">
                  <c:v>3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5-4318-B335-60A87C947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718415"/>
        <c:axId val="1344878207"/>
      </c:barChart>
      <c:catAx>
        <c:axId val="11787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78207"/>
        <c:crosses val="autoZero"/>
        <c:auto val="1"/>
        <c:lblAlgn val="ctr"/>
        <c:lblOffset val="100"/>
        <c:noMultiLvlLbl val="0"/>
      </c:catAx>
      <c:valAx>
        <c:axId val="134487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1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of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Sales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3'!$B$2:$B$10</c:f>
              <c:numCache>
                <c:formatCode>General</c:formatCode>
                <c:ptCount val="9"/>
                <c:pt idx="0">
                  <c:v>1200</c:v>
                </c:pt>
                <c:pt idx="1">
                  <c:v>900</c:v>
                </c:pt>
                <c:pt idx="2">
                  <c:v>855</c:v>
                </c:pt>
                <c:pt idx="3">
                  <c:v>66</c:v>
                </c:pt>
                <c:pt idx="4">
                  <c:v>950</c:v>
                </c:pt>
                <c:pt idx="5">
                  <c:v>1150</c:v>
                </c:pt>
                <c:pt idx="6">
                  <c:v>1050</c:v>
                </c:pt>
                <c:pt idx="7">
                  <c:v>1000</c:v>
                </c:pt>
                <c:pt idx="8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3-4E2D-894D-97D405E42A52}"/>
            </c:ext>
          </c:extLst>
        </c:ser>
        <c:ser>
          <c:idx val="1"/>
          <c:order val="1"/>
          <c:tx>
            <c:strRef>
              <c:f>'Task 3'!$C$1</c:f>
              <c:strCache>
                <c:ptCount val="1"/>
                <c:pt idx="0">
                  <c:v>Sales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3'!$C$2:$C$10</c:f>
              <c:numCache>
                <c:formatCode>General</c:formatCode>
                <c:ptCount val="9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  <c:pt idx="3">
                  <c:v>1200</c:v>
                </c:pt>
                <c:pt idx="4">
                  <c:v>800</c:v>
                </c:pt>
                <c:pt idx="5">
                  <c:v>1050</c:v>
                </c:pt>
                <c:pt idx="6">
                  <c:v>900</c:v>
                </c:pt>
                <c:pt idx="7">
                  <c:v>1150</c:v>
                </c:pt>
                <c:pt idx="8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3-4E2D-894D-97D405E42A52}"/>
            </c:ext>
          </c:extLst>
        </c:ser>
        <c:ser>
          <c:idx val="2"/>
          <c:order val="2"/>
          <c:tx>
            <c:strRef>
              <c:f>'Task 3'!$D$1</c:f>
              <c:strCache>
                <c:ptCount val="1"/>
                <c:pt idx="0">
                  <c:v>Sales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'Task 3'!$D$2:$D$10</c:f>
              <c:numCache>
                <c:formatCode>General</c:formatCode>
                <c:ptCount val="9"/>
                <c:pt idx="0">
                  <c:v>900</c:v>
                </c:pt>
                <c:pt idx="1">
                  <c:v>800</c:v>
                </c:pt>
                <c:pt idx="2">
                  <c:v>1050</c:v>
                </c:pt>
                <c:pt idx="3">
                  <c:v>850</c:v>
                </c:pt>
                <c:pt idx="4">
                  <c:v>950</c:v>
                </c:pt>
                <c:pt idx="5">
                  <c:v>1000</c:v>
                </c:pt>
                <c:pt idx="6">
                  <c:v>1100</c:v>
                </c:pt>
                <c:pt idx="7">
                  <c:v>950</c:v>
                </c:pt>
                <c:pt idx="8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43-4E2D-894D-97D405E42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958239"/>
        <c:axId val="1177771167"/>
      </c:lineChart>
      <c:catAx>
        <c:axId val="135295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71167"/>
        <c:crosses val="autoZero"/>
        <c:auto val="1"/>
        <c:lblAlgn val="ctr"/>
        <c:lblOffset val="100"/>
        <c:noMultiLvlLbl val="0"/>
      </c:catAx>
      <c:valAx>
        <c:axId val="117777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5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9C-4DBD-9EB8-8CBA5CA363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9C-4DBD-9EB8-8CBA5CA363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('Task 4'!$H$5,'Task 4'!$J$5)</c:f>
              <c:strCache>
                <c:ptCount val="2"/>
                <c:pt idx="0">
                  <c:v>Profitable</c:v>
                </c:pt>
                <c:pt idx="1">
                  <c:v>Not Profitable</c:v>
                </c:pt>
              </c:strCache>
            </c:strRef>
          </c:cat>
          <c:val>
            <c:numRef>
              <c:f>('Task 4'!$H$6,'Task 4'!$J$6)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7-4617-BD44-6D8F19BA88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13</xdr:row>
      <xdr:rowOff>133350</xdr:rowOff>
    </xdr:from>
    <xdr:to>
      <xdr:col>6</xdr:col>
      <xdr:colOff>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06C21-424B-ACD8-19D4-9CB106A49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12</xdr:row>
      <xdr:rowOff>179070</xdr:rowOff>
    </xdr:from>
    <xdr:to>
      <xdr:col>5</xdr:col>
      <xdr:colOff>1082040</xdr:colOff>
      <xdr:row>27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1034FD-0BEA-6232-C2B4-4A9D37FE9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72081</xdr:colOff>
      <xdr:row>11</xdr:row>
      <xdr:rowOff>176427</xdr:rowOff>
    </xdr:from>
    <xdr:to>
      <xdr:col>5</xdr:col>
      <xdr:colOff>0</xdr:colOff>
      <xdr:row>26</xdr:row>
      <xdr:rowOff>139356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E0FF5-9B6B-9290-883F-72959889E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E37BB-6C8A-4F77-B89D-A913BEE3422F}" name="Table1" displayName="Table1" ref="A1:F10" totalsRowShown="0">
  <autoFilter ref="A1:F10" xr:uid="{8B8E37BB-6C8A-4F77-B89D-A913BEE3422F}"/>
  <sortState xmlns:xlrd2="http://schemas.microsoft.com/office/spreadsheetml/2017/richdata2" ref="A2:F10">
    <sortCondition descending="1" ref="C1:C10"/>
  </sortState>
  <tableColumns count="6">
    <tableColumn id="1" xr3:uid="{38AC1826-F5B3-4DF9-8E33-ABF3D16A3B00}" name="Student ID "/>
    <tableColumn id="2" xr3:uid="{F7F9B51D-ECF8-42AB-8BCA-CB565BF1BB48}" name=" Name         "/>
    <tableColumn id="3" xr3:uid="{C2716A56-6409-4E09-BA6E-C40C9483C372}" name=" Math Score "/>
    <tableColumn id="4" xr3:uid="{98D1EF7F-F209-46F0-922E-8ECB0E3AD8D6}" name=" Science Score "/>
    <tableColumn id="5" xr3:uid="{A1110F4C-594D-4DDC-9673-8DFB2223EB19}" name=" English Score "/>
    <tableColumn id="6" xr3:uid="{54DA620F-707E-442D-A58D-65838A224C8F}" name="Averege Score">
      <calculatedColumnFormula>AVERAGE(Table1[[#This Row],[ Math Score ]:[ English Score ]])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BF87A4-CFC2-4823-BE55-EF0CDAE44C31}" name="Table2" displayName="Table2" ref="A1:F11" totalsRowShown="0">
  <autoFilter ref="A1:F11" xr:uid="{5BBF87A4-CFC2-4823-BE55-EF0CDAE44C31}"/>
  <tableColumns count="6">
    <tableColumn id="1" xr3:uid="{5C683F93-1A97-40FA-8281-794CF084BC8D}" name="Product ID"/>
    <tableColumn id="2" xr3:uid="{8A8CE280-E895-4B79-B48A-4C35450C8CD1}" name="Product Name"/>
    <tableColumn id="3" xr3:uid="{8AAB7869-ADEC-4F72-A3BE-CB1FE860B9EA}" name="Category"/>
    <tableColumn id="4" xr3:uid="{9E2EAE50-9955-4203-BA5F-02D37E0EFB2C}" name="Price"/>
    <tableColumn id="5" xr3:uid="{61B8F897-2E7E-46DB-9150-DEB4F99BAB65}" name="Quantity"/>
    <tableColumn id="6" xr3:uid="{EA55E8D2-2AC6-47CC-AC6B-92EDC98E1741}" name="Total Value" dataDxfId="10">
      <calculatedColumnFormula>Table2[[#This Row],[Price]]*Table2[[#This Row],[Quantity]]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B93A38-CBE7-4432-AA3E-55F76C1A0A84}" name="Table3" displayName="Table3" ref="A1:F10" totalsRowShown="0">
  <autoFilter ref="A1:F10" xr:uid="{0BB93A38-CBE7-4432-AA3E-55F76C1A0A84}"/>
  <tableColumns count="6">
    <tableColumn id="1" xr3:uid="{EAC77CD7-0B77-4A6D-96A5-9C6BF5882FA7}" name="Month"/>
    <tableColumn id="2" xr3:uid="{428D744D-29BC-4868-B69B-22172D859E62}" name="Sales A"/>
    <tableColumn id="3" xr3:uid="{ADCD9E9E-0C5B-4194-A0F7-75C751D5A46D}" name="Sales B"/>
    <tableColumn id="4" xr3:uid="{6FA09C28-8B72-4E3E-9CFB-A99B7D8308B4}" name="Sales C"/>
    <tableColumn id="5" xr3:uid="{CD56B37E-72E5-405A-B159-F77217A698A3}" name="Total Sales" dataDxfId="9">
      <calculatedColumnFormula>SUM(Table3[[#This Row],[Sales A]:[Sales C]])</calculatedColumnFormula>
    </tableColumn>
    <tableColumn id="6" xr3:uid="{C17EF9E9-1A70-4704-B644-FCE8E2D42FED}" name="Average Sales" dataDxfId="8">
      <calculatedColumnFormula>AVERAGE(Table3[[#This Row],[Sales A]:[Sales C]])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E76653-CEA8-434C-B9E5-094BACBA65E8}" name="Table4" displayName="Table4" ref="A1:E11" totalsRowShown="0">
  <autoFilter ref="A1:E11" xr:uid="{37E76653-CEA8-434C-B9E5-094BACBA65E8}"/>
  <tableColumns count="5">
    <tableColumn id="1" xr3:uid="{A65999BD-2E55-420F-AF10-C9E969DF0D4C}" name="Item"/>
    <tableColumn id="2" xr3:uid="{EAFC36F2-9948-4808-B0D5-8186C9F6F66C}" name="Cost" dataDxfId="7"/>
    <tableColumn id="3" xr3:uid="{4DB5209A-A93F-4300-882E-40E29E6D9766}" name="Revenue" dataDxfId="6"/>
    <tableColumn id="4" xr3:uid="{3FFD2B45-017E-4EA6-975A-A9D0E0FA553A}" name="Profit" dataDxfId="5">
      <calculatedColumnFormula>Table4[[#This Row],[Revenue]]-Table4[[#This Row],[Cost]]</calculatedColumnFormula>
    </tableColumn>
    <tableColumn id="5" xr3:uid="{DF7BE865-7AB6-4C80-AE68-658A260CE161}" name="Categorize the product" dataDxfId="4">
      <calculatedColumnFormula>IF(D2&gt;0,"Profitable","Not Profitable")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F6D9D8-C9D2-45AB-B57F-CC6D985ED732}" name="Table5" displayName="Table5" ref="A1:E8" totalsRowShown="0">
  <autoFilter ref="A1:E8" xr:uid="{9CF6D9D8-C9D2-45AB-B57F-CC6D985ED732}"/>
  <tableColumns count="5">
    <tableColumn id="1" xr3:uid="{A723EA59-7DFA-402D-973F-CF009684E605}" name="Employee ID"/>
    <tableColumn id="2" xr3:uid="{F10FFF1E-9690-4884-9FB0-116F41C7EAB4}" name="Employee Name"/>
    <tableColumn id="3" xr3:uid="{C150343B-95D7-486D-A8D5-2F50E6FA55CE}" name="Department"/>
    <tableColumn id="4" xr3:uid="{7EDFB97A-D70D-4254-83AD-BBCFE58F55B8}" name="Salary"/>
    <tableColumn id="5" xr3:uid="{76D57EAA-0F46-4BD3-B797-93AE552C79CA}" name="Hire Date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E47F-0F25-42E1-81E4-CC2260B671AA}">
  <dimension ref="A1:M16"/>
  <sheetViews>
    <sheetView zoomScale="109" workbookViewId="0">
      <selection activeCell="H12" sqref="H12"/>
    </sheetView>
  </sheetViews>
  <sheetFormatPr defaultRowHeight="14.4" x14ac:dyDescent="0.3"/>
  <cols>
    <col min="1" max="1" width="12.77734375" customWidth="1"/>
    <col min="2" max="2" width="12" customWidth="1"/>
    <col min="3" max="3" width="14.109375" customWidth="1"/>
    <col min="4" max="5" width="14.6640625" customWidth="1"/>
    <col min="6" max="6" width="1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13" x14ac:dyDescent="0.3">
      <c r="A2">
        <v>5</v>
      </c>
      <c r="B2" t="s">
        <v>9</v>
      </c>
      <c r="C2">
        <v>95</v>
      </c>
      <c r="D2">
        <v>91</v>
      </c>
      <c r="E2">
        <v>87</v>
      </c>
      <c r="F2" s="1">
        <f>AVERAGE(Table1[[#This Row],[ Math Score ]:[ English Score ]])</f>
        <v>91</v>
      </c>
      <c r="H2" s="8" t="s">
        <v>14</v>
      </c>
      <c r="I2" s="8"/>
      <c r="J2" s="8"/>
      <c r="K2" s="8"/>
      <c r="L2" s="8"/>
      <c r="M2" s="8"/>
    </row>
    <row r="3" spans="1:13" x14ac:dyDescent="0.3">
      <c r="A3">
        <v>2</v>
      </c>
      <c r="B3" t="s">
        <v>6</v>
      </c>
      <c r="C3">
        <v>92</v>
      </c>
      <c r="D3">
        <v>88</v>
      </c>
      <c r="E3">
        <v>90</v>
      </c>
      <c r="F3" s="1">
        <f>AVERAGE(Table1[[#This Row],[ Math Score ]:[ English Score ]])</f>
        <v>90</v>
      </c>
      <c r="H3" s="8" t="s">
        <v>15</v>
      </c>
      <c r="I3" s="8"/>
      <c r="J3" s="8"/>
      <c r="K3" s="8"/>
      <c r="L3" s="8"/>
      <c r="M3" s="8"/>
    </row>
    <row r="4" spans="1:13" x14ac:dyDescent="0.3">
      <c r="A4">
        <v>9</v>
      </c>
      <c r="B4" t="s">
        <v>13</v>
      </c>
      <c r="C4">
        <v>91</v>
      </c>
      <c r="D4">
        <v>87</v>
      </c>
      <c r="E4">
        <v>91</v>
      </c>
      <c r="F4" s="1">
        <f>AVERAGE(Table1[[#This Row],[ Math Score ]:[ English Score ]])</f>
        <v>89.666666666666671</v>
      </c>
      <c r="H4" s="8" t="s">
        <v>16</v>
      </c>
      <c r="I4" s="8"/>
      <c r="J4" s="8"/>
      <c r="K4" s="8"/>
      <c r="L4" s="8"/>
      <c r="M4" s="8"/>
    </row>
    <row r="5" spans="1:13" x14ac:dyDescent="0.3">
      <c r="A5">
        <v>7</v>
      </c>
      <c r="B5" t="s">
        <v>11</v>
      </c>
      <c r="C5">
        <v>90</v>
      </c>
      <c r="D5">
        <v>86</v>
      </c>
      <c r="E5">
        <v>88</v>
      </c>
      <c r="F5" s="1">
        <f>AVERAGE(Table1[[#This Row],[ Math Score ]:[ English Score ]])</f>
        <v>88</v>
      </c>
      <c r="H5" s="8"/>
      <c r="I5" s="8"/>
      <c r="J5" s="8"/>
      <c r="K5" s="8"/>
      <c r="L5" s="8"/>
      <c r="M5" s="8"/>
    </row>
    <row r="6" spans="1:13" x14ac:dyDescent="0.3">
      <c r="A6">
        <v>4</v>
      </c>
      <c r="B6" t="s">
        <v>8</v>
      </c>
      <c r="C6">
        <v>88</v>
      </c>
      <c r="D6">
        <v>85</v>
      </c>
      <c r="E6">
        <v>92</v>
      </c>
      <c r="F6" s="1">
        <f>AVERAGE(Table1[[#This Row],[ Math Score ]:[ English Score ]])</f>
        <v>88.333333333333329</v>
      </c>
    </row>
    <row r="7" spans="1:13" x14ac:dyDescent="0.3">
      <c r="A7">
        <v>8</v>
      </c>
      <c r="B7" t="s">
        <v>12</v>
      </c>
      <c r="C7">
        <v>87</v>
      </c>
      <c r="D7">
        <v>83</v>
      </c>
      <c r="E7">
        <v>89</v>
      </c>
      <c r="F7" s="1">
        <f>AVERAGE(Table1[[#This Row],[ Math Score ]:[ English Score ]])</f>
        <v>86.333333333333329</v>
      </c>
    </row>
    <row r="8" spans="1:13" x14ac:dyDescent="0.3">
      <c r="A8">
        <v>1</v>
      </c>
      <c r="B8" t="s">
        <v>5</v>
      </c>
      <c r="C8">
        <v>85</v>
      </c>
      <c r="D8">
        <v>90</v>
      </c>
      <c r="E8">
        <v>88</v>
      </c>
      <c r="F8" s="1">
        <f>AVERAGE(Table1[[#This Row],[ Math Score ]:[ English Score ]])</f>
        <v>87.666666666666671</v>
      </c>
    </row>
    <row r="9" spans="1:13" x14ac:dyDescent="0.3">
      <c r="A9">
        <v>6</v>
      </c>
      <c r="B9" t="s">
        <v>10</v>
      </c>
      <c r="C9">
        <v>82</v>
      </c>
      <c r="D9">
        <v>89</v>
      </c>
      <c r="E9">
        <v>84</v>
      </c>
      <c r="F9">
        <f>AVERAGE(Table1[[#This Row],[ Math Score ]:[ English Score ]])</f>
        <v>85</v>
      </c>
    </row>
    <row r="10" spans="1:13" x14ac:dyDescent="0.3">
      <c r="A10">
        <v>3</v>
      </c>
      <c r="B10" t="s">
        <v>7</v>
      </c>
      <c r="C10">
        <v>78</v>
      </c>
      <c r="D10">
        <v>82</v>
      </c>
      <c r="E10">
        <v>85</v>
      </c>
      <c r="F10" s="1">
        <f>AVERAGE(Table1[[#This Row],[ Math Score ]:[ English Score ]])</f>
        <v>81.666666666666671</v>
      </c>
    </row>
    <row r="13" spans="1:13" x14ac:dyDescent="0.3">
      <c r="B13" s="8"/>
      <c r="C13" s="8"/>
      <c r="D13" s="8"/>
      <c r="E13" s="8"/>
      <c r="F13" s="8"/>
      <c r="G13" s="8"/>
    </row>
    <row r="14" spans="1:13" x14ac:dyDescent="0.3">
      <c r="B14" s="8"/>
      <c r="C14" s="8"/>
      <c r="D14" s="8"/>
      <c r="E14" s="8"/>
      <c r="F14" s="8"/>
      <c r="G14" s="8"/>
    </row>
    <row r="15" spans="1:13" x14ac:dyDescent="0.3">
      <c r="B15" s="8"/>
      <c r="C15" s="8"/>
      <c r="D15" s="8"/>
      <c r="E15" s="8"/>
      <c r="F15" s="8"/>
      <c r="G15" s="8"/>
    </row>
    <row r="16" spans="1:13" x14ac:dyDescent="0.3">
      <c r="B16" s="8"/>
      <c r="C16" s="8"/>
      <c r="D16" s="8"/>
      <c r="E16" s="8"/>
      <c r="F16" s="8"/>
      <c r="G16" s="8"/>
    </row>
  </sheetData>
  <conditionalFormatting sqref="F2:F10">
    <cfRule type="cellIs" dxfId="2" priority="1" operator="greaterThan">
      <formula>85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6A55-B7B6-4F93-8650-C29B880B6241}">
  <dimension ref="A1:H18"/>
  <sheetViews>
    <sheetView workbookViewId="0">
      <selection activeCell="F3" sqref="F3"/>
    </sheetView>
  </sheetViews>
  <sheetFormatPr defaultRowHeight="14.4" x14ac:dyDescent="0.3"/>
  <cols>
    <col min="1" max="1" width="12.33203125" customWidth="1"/>
    <col min="2" max="2" width="15" customWidth="1"/>
    <col min="3" max="3" width="11.21875" customWidth="1"/>
    <col min="4" max="4" width="10.77734375" customWidth="1"/>
    <col min="5" max="5" width="11.6640625" customWidth="1"/>
    <col min="6" max="6" width="13.21875" customWidth="1"/>
  </cols>
  <sheetData>
    <row r="1" spans="1:8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41</v>
      </c>
    </row>
    <row r="2" spans="1:8" x14ac:dyDescent="0.3">
      <c r="A2">
        <v>1</v>
      </c>
      <c r="B2" t="s">
        <v>23</v>
      </c>
      <c r="C2" t="s">
        <v>24</v>
      </c>
      <c r="D2">
        <v>1000</v>
      </c>
      <c r="E2">
        <v>5</v>
      </c>
      <c r="F2">
        <f>Table2[[#This Row],[Price]]*Table2[[#This Row],[Quantity]]</f>
        <v>5000</v>
      </c>
    </row>
    <row r="3" spans="1:8" x14ac:dyDescent="0.3">
      <c r="A3">
        <v>2</v>
      </c>
      <c r="B3" t="s">
        <v>25</v>
      </c>
      <c r="C3" t="s">
        <v>26</v>
      </c>
      <c r="D3">
        <v>20</v>
      </c>
      <c r="E3">
        <v>10</v>
      </c>
      <c r="F3">
        <f>Table2[[#This Row],[Price]]*Table2[[#This Row],[Quantity]]</f>
        <v>200</v>
      </c>
    </row>
    <row r="4" spans="1:8" x14ac:dyDescent="0.3">
      <c r="A4">
        <v>3</v>
      </c>
      <c r="B4" t="s">
        <v>27</v>
      </c>
      <c r="C4" t="s">
        <v>24</v>
      </c>
      <c r="D4">
        <v>500</v>
      </c>
      <c r="E4">
        <v>8</v>
      </c>
      <c r="F4">
        <f>Table2[[#This Row],[Price]]*Table2[[#This Row],[Quantity]]</f>
        <v>4000</v>
      </c>
    </row>
    <row r="5" spans="1:8" x14ac:dyDescent="0.3">
      <c r="A5">
        <v>4</v>
      </c>
      <c r="B5" t="s">
        <v>28</v>
      </c>
      <c r="C5" t="s">
        <v>24</v>
      </c>
      <c r="D5">
        <v>200</v>
      </c>
      <c r="E5">
        <v>15</v>
      </c>
      <c r="F5">
        <f>Table2[[#This Row],[Price]]*Table2[[#This Row],[Quantity]]</f>
        <v>3000</v>
      </c>
    </row>
    <row r="6" spans="1:8" x14ac:dyDescent="0.3">
      <c r="A6">
        <v>5</v>
      </c>
      <c r="B6" t="s">
        <v>29</v>
      </c>
      <c r="C6" t="s">
        <v>26</v>
      </c>
      <c r="D6">
        <v>50</v>
      </c>
      <c r="E6">
        <v>12</v>
      </c>
      <c r="F6">
        <f>Table2[[#This Row],[Price]]*Table2[[#This Row],[Quantity]]</f>
        <v>600</v>
      </c>
    </row>
    <row r="7" spans="1:8" x14ac:dyDescent="0.3">
      <c r="A7">
        <v>6</v>
      </c>
      <c r="B7" t="s">
        <v>30</v>
      </c>
      <c r="C7" t="s">
        <v>24</v>
      </c>
      <c r="D7">
        <v>700</v>
      </c>
      <c r="E7">
        <v>6</v>
      </c>
      <c r="F7">
        <f>Table2[[#This Row],[Price]]*Table2[[#This Row],[Quantity]]</f>
        <v>4200</v>
      </c>
    </row>
    <row r="8" spans="1:8" x14ac:dyDescent="0.3">
      <c r="A8">
        <v>7</v>
      </c>
      <c r="B8" t="s">
        <v>31</v>
      </c>
      <c r="C8" t="s">
        <v>26</v>
      </c>
      <c r="D8">
        <v>30</v>
      </c>
      <c r="E8">
        <v>20</v>
      </c>
      <c r="F8">
        <f>Table2[[#This Row],[Price]]*Table2[[#This Row],[Quantity]]</f>
        <v>600</v>
      </c>
    </row>
    <row r="9" spans="1:8" x14ac:dyDescent="0.3">
      <c r="A9">
        <v>8</v>
      </c>
      <c r="B9" t="s">
        <v>32</v>
      </c>
      <c r="C9" t="s">
        <v>24</v>
      </c>
      <c r="D9">
        <v>1200</v>
      </c>
      <c r="E9">
        <v>3</v>
      </c>
      <c r="F9">
        <f>Table2[[#This Row],[Price]]*Table2[[#This Row],[Quantity]]</f>
        <v>3600</v>
      </c>
    </row>
    <row r="10" spans="1:8" x14ac:dyDescent="0.3">
      <c r="A10">
        <v>9</v>
      </c>
      <c r="B10" t="s">
        <v>33</v>
      </c>
      <c r="C10" t="s">
        <v>26</v>
      </c>
      <c r="D10">
        <v>80</v>
      </c>
      <c r="E10">
        <v>7</v>
      </c>
      <c r="F10">
        <f>Table2[[#This Row],[Price]]*Table2[[#This Row],[Quantity]]</f>
        <v>560</v>
      </c>
    </row>
    <row r="11" spans="1:8" x14ac:dyDescent="0.3">
      <c r="A11">
        <v>10</v>
      </c>
      <c r="B11" t="s">
        <v>34</v>
      </c>
      <c r="C11" t="s">
        <v>24</v>
      </c>
      <c r="D11">
        <v>300</v>
      </c>
      <c r="E11">
        <v>10</v>
      </c>
      <c r="F11">
        <f>Table2[[#This Row],[Price]]*Table2[[#This Row],[Quantity]]</f>
        <v>3000</v>
      </c>
    </row>
    <row r="12" spans="1:8" x14ac:dyDescent="0.3">
      <c r="H12" t="s">
        <v>35</v>
      </c>
    </row>
    <row r="14" spans="1:8" x14ac:dyDescent="0.3">
      <c r="H14" t="s">
        <v>36</v>
      </c>
    </row>
    <row r="15" spans="1:8" x14ac:dyDescent="0.3">
      <c r="H15" t="s">
        <v>37</v>
      </c>
    </row>
    <row r="16" spans="1:8" x14ac:dyDescent="0.3">
      <c r="H16" t="s">
        <v>38</v>
      </c>
    </row>
    <row r="17" spans="8:8" x14ac:dyDescent="0.3">
      <c r="H17" t="s">
        <v>39</v>
      </c>
    </row>
    <row r="18" spans="8:8" x14ac:dyDescent="0.3">
      <c r="H18" t="s">
        <v>40</v>
      </c>
    </row>
  </sheetData>
  <conditionalFormatting sqref="D2:D11">
    <cfRule type="cellIs" dxfId="1" priority="1" operator="greaterThan">
      <formula>500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97D4-F421-4AD5-ADC2-497F41F99CAD}">
  <dimension ref="A1:K20"/>
  <sheetViews>
    <sheetView tabSelected="1" workbookViewId="0">
      <selection activeCell="B6" sqref="B6"/>
    </sheetView>
  </sheetViews>
  <sheetFormatPr defaultRowHeight="14.4" x14ac:dyDescent="0.3"/>
  <cols>
    <col min="5" max="5" width="13" customWidth="1"/>
    <col min="6" max="6" width="15.88671875" customWidth="1"/>
    <col min="9" max="9" width="11.88671875" bestFit="1" customWidth="1"/>
    <col min="11" max="11" width="30.5546875" customWidth="1"/>
  </cols>
  <sheetData>
    <row r="1" spans="1:11" x14ac:dyDescent="0.3">
      <c r="A1" t="s">
        <v>42</v>
      </c>
      <c r="B1" t="s">
        <v>43</v>
      </c>
      <c r="C1" t="s">
        <v>44</v>
      </c>
      <c r="D1" t="s">
        <v>45</v>
      </c>
      <c r="E1" t="s">
        <v>60</v>
      </c>
      <c r="F1" t="s">
        <v>61</v>
      </c>
    </row>
    <row r="2" spans="1:11" ht="15" thickBot="1" x14ac:dyDescent="0.35">
      <c r="A2" t="s">
        <v>46</v>
      </c>
      <c r="B2">
        <v>1200</v>
      </c>
      <c r="C2">
        <v>1100</v>
      </c>
      <c r="D2">
        <v>900</v>
      </c>
      <c r="E2">
        <f>SUM(Table3[[#This Row],[Sales A]:[Sales C]])</f>
        <v>3200</v>
      </c>
      <c r="F2">
        <f>AVERAGE(Table3[[#This Row],[Sales A]:[Sales C]])</f>
        <v>1066.6666666666667</v>
      </c>
    </row>
    <row r="3" spans="1:11" x14ac:dyDescent="0.3">
      <c r="A3" t="s">
        <v>47</v>
      </c>
      <c r="B3">
        <v>900</v>
      </c>
      <c r="C3">
        <v>1000</v>
      </c>
      <c r="D3">
        <v>800</v>
      </c>
      <c r="E3">
        <f>SUM(Table3[[#This Row],[Sales A]:[Sales C]])</f>
        <v>2700</v>
      </c>
      <c r="F3">
        <f>AVERAGE(Table3[[#This Row],[Sales A]:[Sales C]])</f>
        <v>900</v>
      </c>
      <c r="I3" s="2" t="s">
        <v>62</v>
      </c>
      <c r="K3" s="2" t="s">
        <v>63</v>
      </c>
    </row>
    <row r="4" spans="1:11" ht="15" thickBot="1" x14ac:dyDescent="0.35">
      <c r="A4" t="s">
        <v>48</v>
      </c>
      <c r="B4">
        <v>855</v>
      </c>
      <c r="C4">
        <v>950</v>
      </c>
      <c r="D4">
        <v>1050</v>
      </c>
      <c r="E4">
        <f>SUM(Table3[[#This Row],[Sales A]:[Sales C]])</f>
        <v>2855</v>
      </c>
      <c r="F4">
        <f>AVERAGE(Table3[[#This Row],[Sales A]:[Sales C]])</f>
        <v>951.66666666666663</v>
      </c>
      <c r="I4" s="3">
        <f>MAX(Table3[[Sales A]:[Sales C]])</f>
        <v>1250</v>
      </c>
      <c r="K4" s="3">
        <f>COUNTIF(Table3[Sales A],"&gt;1000")</f>
        <v>4</v>
      </c>
    </row>
    <row r="5" spans="1:11" x14ac:dyDescent="0.3">
      <c r="A5" t="s">
        <v>49</v>
      </c>
      <c r="B5">
        <v>66</v>
      </c>
      <c r="C5">
        <v>1200</v>
      </c>
      <c r="D5">
        <v>850</v>
      </c>
      <c r="E5">
        <f>SUM(Table3[[#This Row],[Sales A]:[Sales C]])</f>
        <v>2116</v>
      </c>
      <c r="F5">
        <f>AVERAGE(Table3[[#This Row],[Sales A]:[Sales C]])</f>
        <v>705.33333333333337</v>
      </c>
    </row>
    <row r="6" spans="1:11" x14ac:dyDescent="0.3">
      <c r="A6" t="s">
        <v>50</v>
      </c>
      <c r="B6">
        <v>950</v>
      </c>
      <c r="C6">
        <v>800</v>
      </c>
      <c r="D6">
        <v>950</v>
      </c>
      <c r="E6">
        <f>SUM(Table3[[#This Row],[Sales A]:[Sales C]])</f>
        <v>2700</v>
      </c>
      <c r="F6">
        <f>AVERAGE(Table3[[#This Row],[Sales A]:[Sales C]])</f>
        <v>900</v>
      </c>
    </row>
    <row r="7" spans="1:11" x14ac:dyDescent="0.3">
      <c r="A7" t="s">
        <v>51</v>
      </c>
      <c r="B7">
        <v>1150</v>
      </c>
      <c r="C7">
        <v>1050</v>
      </c>
      <c r="D7">
        <v>1000</v>
      </c>
      <c r="E7">
        <f>SUM(Table3[[#This Row],[Sales A]:[Sales C]])</f>
        <v>3200</v>
      </c>
      <c r="F7">
        <f>AVERAGE(Table3[[#This Row],[Sales A]:[Sales C]])</f>
        <v>1066.6666666666667</v>
      </c>
    </row>
    <row r="8" spans="1:11" x14ac:dyDescent="0.3">
      <c r="A8" t="s">
        <v>52</v>
      </c>
      <c r="B8">
        <v>1050</v>
      </c>
      <c r="C8">
        <v>900</v>
      </c>
      <c r="D8">
        <v>1100</v>
      </c>
      <c r="E8">
        <f>SUM(Table3[[#This Row],[Sales A]:[Sales C]])</f>
        <v>3050</v>
      </c>
      <c r="F8">
        <f>AVERAGE(Table3[[#This Row],[Sales A]:[Sales C]])</f>
        <v>1016.6666666666666</v>
      </c>
    </row>
    <row r="9" spans="1:11" x14ac:dyDescent="0.3">
      <c r="A9" t="s">
        <v>53</v>
      </c>
      <c r="B9">
        <v>1000</v>
      </c>
      <c r="C9">
        <v>1150</v>
      </c>
      <c r="D9">
        <v>950</v>
      </c>
      <c r="E9">
        <v>555</v>
      </c>
      <c r="F9">
        <f>AVERAGE(Table3[[#This Row],[Sales A]:[Sales C]])</f>
        <v>1033.3333333333333</v>
      </c>
    </row>
    <row r="10" spans="1:11" x14ac:dyDescent="0.3">
      <c r="A10" t="s">
        <v>54</v>
      </c>
      <c r="B10">
        <v>1250</v>
      </c>
      <c r="C10">
        <v>1000</v>
      </c>
      <c r="D10">
        <v>1200</v>
      </c>
      <c r="E10">
        <f>SUM(Table3[[#This Row],[Sales A]:[Sales C]])</f>
        <v>3450</v>
      </c>
      <c r="F10">
        <f>AVERAGE(Table3[[#This Row],[Sales A]:[Sales C]])</f>
        <v>1150</v>
      </c>
    </row>
    <row r="14" spans="1:11" x14ac:dyDescent="0.3">
      <c r="I14" t="s">
        <v>35</v>
      </c>
    </row>
    <row r="16" spans="1:11" x14ac:dyDescent="0.3">
      <c r="I16" t="s">
        <v>55</v>
      </c>
    </row>
    <row r="17" spans="9:9" x14ac:dyDescent="0.3">
      <c r="I17" t="s">
        <v>56</v>
      </c>
    </row>
    <row r="18" spans="9:9" x14ac:dyDescent="0.3">
      <c r="I18" t="s">
        <v>57</v>
      </c>
    </row>
    <row r="19" spans="9:9" x14ac:dyDescent="0.3">
      <c r="I19" t="s">
        <v>58</v>
      </c>
    </row>
    <row r="20" spans="9:9" x14ac:dyDescent="0.3">
      <c r="I20" t="s">
        <v>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D33D-B789-46A5-AB3D-57D7123066BB}">
  <dimension ref="A1:J16"/>
  <sheetViews>
    <sheetView zoomScale="111" workbookViewId="0">
      <selection activeCell="M7" sqref="M7"/>
    </sheetView>
  </sheetViews>
  <sheetFormatPr defaultRowHeight="14.4" x14ac:dyDescent="0.3"/>
  <cols>
    <col min="3" max="3" width="9.77734375" customWidth="1"/>
    <col min="5" max="5" width="20.33203125" customWidth="1"/>
    <col min="8" max="8" width="12.6640625" customWidth="1"/>
    <col min="10" max="10" width="14.21875" customWidth="1"/>
  </cols>
  <sheetData>
    <row r="1" spans="1:10" ht="15" thickBot="1" x14ac:dyDescent="0.35">
      <c r="A1" t="s">
        <v>64</v>
      </c>
      <c r="B1" t="s">
        <v>65</v>
      </c>
      <c r="C1" t="s">
        <v>66</v>
      </c>
      <c r="D1" t="s">
        <v>67</v>
      </c>
      <c r="E1" t="s">
        <v>85</v>
      </c>
    </row>
    <row r="2" spans="1:10" x14ac:dyDescent="0.3">
      <c r="A2" t="s">
        <v>68</v>
      </c>
      <c r="B2" s="6">
        <v>550</v>
      </c>
      <c r="C2" s="6">
        <v>820</v>
      </c>
      <c r="D2" s="6">
        <f>Table4[[#This Row],[Revenue]]-Table4[[#This Row],[Cost]]</f>
        <v>270</v>
      </c>
      <c r="E2" t="str">
        <f t="shared" ref="E2:E11" si="0">IF(D2&gt;0,"Profitable","Not Profitable")</f>
        <v>Profitable</v>
      </c>
      <c r="H2" s="4" t="s">
        <v>84</v>
      </c>
      <c r="J2" s="4" t="s">
        <v>83</v>
      </c>
    </row>
    <row r="3" spans="1:10" ht="15" thickBot="1" x14ac:dyDescent="0.35">
      <c r="A3" t="s">
        <v>69</v>
      </c>
      <c r="B3" s="6">
        <v>630</v>
      </c>
      <c r="C3" s="6">
        <v>950</v>
      </c>
      <c r="D3" s="6">
        <f>Table4[[#This Row],[Revenue]]-Table4[[#This Row],[Cost]]</f>
        <v>320</v>
      </c>
      <c r="E3" t="str">
        <f t="shared" si="0"/>
        <v>Profitable</v>
      </c>
      <c r="H3" s="7">
        <f>SUM(Table4[Revenue])</f>
        <v>9350</v>
      </c>
      <c r="J3" s="7">
        <f>SUM(Table4[Cost])</f>
        <v>6370</v>
      </c>
    </row>
    <row r="4" spans="1:10" ht="15" thickBot="1" x14ac:dyDescent="0.35">
      <c r="A4" t="s">
        <v>70</v>
      </c>
      <c r="B4" s="6">
        <v>720</v>
      </c>
      <c r="C4" s="6">
        <v>1050</v>
      </c>
      <c r="D4" s="6">
        <f>Table4[[#This Row],[Revenue]]-Table4[[#This Row],[Cost]]</f>
        <v>330</v>
      </c>
      <c r="E4" t="str">
        <f t="shared" si="0"/>
        <v>Profitable</v>
      </c>
    </row>
    <row r="5" spans="1:10" x14ac:dyDescent="0.3">
      <c r="A5" t="s">
        <v>71</v>
      </c>
      <c r="B5" s="6">
        <v>680</v>
      </c>
      <c r="C5" s="6">
        <v>980</v>
      </c>
      <c r="D5" s="6">
        <f>Table4[[#This Row],[Revenue]]-Table4[[#This Row],[Cost]]</f>
        <v>300</v>
      </c>
      <c r="E5" t="str">
        <f t="shared" si="0"/>
        <v>Profitable</v>
      </c>
      <c r="H5" s="4" t="s">
        <v>86</v>
      </c>
      <c r="J5" s="4" t="s">
        <v>87</v>
      </c>
    </row>
    <row r="6" spans="1:10" ht="15" thickBot="1" x14ac:dyDescent="0.35">
      <c r="A6" t="s">
        <v>72</v>
      </c>
      <c r="B6" s="6">
        <v>590</v>
      </c>
      <c r="C6" s="6">
        <v>870</v>
      </c>
      <c r="D6" s="6">
        <f>Table4[[#This Row],[Revenue]]-Table4[[#This Row],[Cost]]</f>
        <v>280</v>
      </c>
      <c r="E6" t="str">
        <f t="shared" si="0"/>
        <v>Profitable</v>
      </c>
      <c r="H6" s="5">
        <f>COUNTIF(Table4[Categorize the product],"Profitable")</f>
        <v>10</v>
      </c>
      <c r="J6" s="5">
        <f>COUNTIF(Table4[Categorize the product],"Not Profitable")</f>
        <v>0</v>
      </c>
    </row>
    <row r="7" spans="1:10" x14ac:dyDescent="0.3">
      <c r="A7" t="s">
        <v>73</v>
      </c>
      <c r="B7" s="6">
        <v>660</v>
      </c>
      <c r="C7" s="6">
        <v>930</v>
      </c>
      <c r="D7" s="6">
        <f>Table4[[#This Row],[Revenue]]-Table4[[#This Row],[Cost]]</f>
        <v>270</v>
      </c>
      <c r="E7" t="str">
        <f t="shared" si="0"/>
        <v>Profitable</v>
      </c>
    </row>
    <row r="8" spans="1:10" x14ac:dyDescent="0.3">
      <c r="A8" t="s">
        <v>74</v>
      </c>
      <c r="B8" s="6">
        <v>710</v>
      </c>
      <c r="C8" s="6">
        <v>1020</v>
      </c>
      <c r="D8" s="6">
        <f>Table4[[#This Row],[Revenue]]-Table4[[#This Row],[Cost]]</f>
        <v>310</v>
      </c>
      <c r="E8" t="str">
        <f t="shared" si="0"/>
        <v>Profitable</v>
      </c>
    </row>
    <row r="9" spans="1:10" x14ac:dyDescent="0.3">
      <c r="A9" t="s">
        <v>75</v>
      </c>
      <c r="B9" s="6">
        <v>590</v>
      </c>
      <c r="C9" s="6">
        <v>880</v>
      </c>
      <c r="D9" s="6">
        <f>Table4[[#This Row],[Revenue]]-Table4[[#This Row],[Cost]]</f>
        <v>290</v>
      </c>
      <c r="E9" t="str">
        <f t="shared" si="0"/>
        <v>Profitable</v>
      </c>
    </row>
    <row r="10" spans="1:10" x14ac:dyDescent="0.3">
      <c r="A10" t="s">
        <v>76</v>
      </c>
      <c r="B10" s="6">
        <v>640</v>
      </c>
      <c r="C10" s="6">
        <v>940</v>
      </c>
      <c r="D10" s="6">
        <f>Table4[[#This Row],[Revenue]]-Table4[[#This Row],[Cost]]</f>
        <v>300</v>
      </c>
      <c r="E10" t="str">
        <f t="shared" si="0"/>
        <v>Profitable</v>
      </c>
      <c r="G10" t="s">
        <v>35</v>
      </c>
    </row>
    <row r="11" spans="1:10" x14ac:dyDescent="0.3">
      <c r="A11" t="s">
        <v>77</v>
      </c>
      <c r="B11" s="6">
        <v>600</v>
      </c>
      <c r="C11" s="6">
        <v>910</v>
      </c>
      <c r="D11" s="6">
        <f>Table4[[#This Row],[Revenue]]-Table4[[#This Row],[Cost]]</f>
        <v>310</v>
      </c>
      <c r="E11" t="str">
        <f t="shared" si="0"/>
        <v>Profitable</v>
      </c>
    </row>
    <row r="12" spans="1:10" x14ac:dyDescent="0.3">
      <c r="G12" t="s">
        <v>78</v>
      </c>
    </row>
    <row r="13" spans="1:10" x14ac:dyDescent="0.3">
      <c r="G13" t="s">
        <v>79</v>
      </c>
    </row>
    <row r="14" spans="1:10" x14ac:dyDescent="0.3">
      <c r="G14" t="s">
        <v>80</v>
      </c>
    </row>
    <row r="15" spans="1:10" x14ac:dyDescent="0.3">
      <c r="G15" t="s">
        <v>81</v>
      </c>
    </row>
    <row r="16" spans="1:10" x14ac:dyDescent="0.3">
      <c r="G16" t="s">
        <v>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3BC0-A22F-4861-B499-85647A3FB83A}">
  <dimension ref="A1:I17"/>
  <sheetViews>
    <sheetView zoomScale="126" workbookViewId="0">
      <selection activeCell="D26" sqref="D26"/>
    </sheetView>
  </sheetViews>
  <sheetFormatPr defaultRowHeight="14.4" x14ac:dyDescent="0.3"/>
  <cols>
    <col min="1" max="1" width="13" customWidth="1"/>
    <col min="2" max="2" width="16.109375" customWidth="1"/>
    <col min="3" max="3" width="12.5546875" customWidth="1"/>
    <col min="5" max="5" width="10.44140625" customWidth="1"/>
  </cols>
  <sheetData>
    <row r="1" spans="1:9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</row>
    <row r="2" spans="1:9" x14ac:dyDescent="0.3">
      <c r="A2">
        <v>1</v>
      </c>
      <c r="B2" t="s">
        <v>93</v>
      </c>
      <c r="C2" t="s">
        <v>94</v>
      </c>
      <c r="D2">
        <v>55000</v>
      </c>
      <c r="E2" t="s">
        <v>95</v>
      </c>
    </row>
    <row r="3" spans="1:9" x14ac:dyDescent="0.3">
      <c r="A3">
        <v>2</v>
      </c>
      <c r="B3" t="s">
        <v>96</v>
      </c>
      <c r="C3" t="s">
        <v>97</v>
      </c>
      <c r="D3">
        <v>65000</v>
      </c>
      <c r="E3" s="9">
        <v>43593</v>
      </c>
    </row>
    <row r="4" spans="1:9" x14ac:dyDescent="0.3">
      <c r="A4">
        <v>3</v>
      </c>
      <c r="B4" t="s">
        <v>98</v>
      </c>
      <c r="C4" t="s">
        <v>99</v>
      </c>
      <c r="D4">
        <v>72000</v>
      </c>
      <c r="E4" t="s">
        <v>100</v>
      </c>
    </row>
    <row r="5" spans="1:9" x14ac:dyDescent="0.3">
      <c r="A5">
        <v>4</v>
      </c>
      <c r="B5" t="s">
        <v>101</v>
      </c>
      <c r="C5" t="s">
        <v>97</v>
      </c>
      <c r="D5">
        <v>63000</v>
      </c>
      <c r="E5" s="9">
        <v>43891</v>
      </c>
    </row>
    <row r="6" spans="1:9" x14ac:dyDescent="0.3">
      <c r="A6">
        <v>5</v>
      </c>
      <c r="B6" t="s">
        <v>102</v>
      </c>
      <c r="C6" t="s">
        <v>94</v>
      </c>
      <c r="D6">
        <v>58000</v>
      </c>
      <c r="E6" s="9">
        <v>42652</v>
      </c>
    </row>
    <row r="7" spans="1:9" x14ac:dyDescent="0.3">
      <c r="A7">
        <v>6</v>
      </c>
      <c r="B7" t="s">
        <v>103</v>
      </c>
      <c r="C7" t="s">
        <v>99</v>
      </c>
      <c r="D7">
        <v>68000</v>
      </c>
      <c r="E7" t="s">
        <v>104</v>
      </c>
    </row>
    <row r="8" spans="1:9" x14ac:dyDescent="0.3">
      <c r="A8">
        <v>7</v>
      </c>
      <c r="B8" t="s">
        <v>105</v>
      </c>
      <c r="C8" t="s">
        <v>97</v>
      </c>
      <c r="D8">
        <v>70000</v>
      </c>
      <c r="E8" s="9">
        <v>43803</v>
      </c>
    </row>
    <row r="11" spans="1:9" x14ac:dyDescent="0.3">
      <c r="I11" t="s">
        <v>35</v>
      </c>
    </row>
    <row r="13" spans="1:9" x14ac:dyDescent="0.3">
      <c r="I13" t="s">
        <v>106</v>
      </c>
    </row>
    <row r="14" spans="1:9" x14ac:dyDescent="0.3">
      <c r="I14" t="s">
        <v>107</v>
      </c>
    </row>
    <row r="15" spans="1:9" x14ac:dyDescent="0.3">
      <c r="I15" t="s">
        <v>108</v>
      </c>
    </row>
    <row r="16" spans="1:9" x14ac:dyDescent="0.3">
      <c r="I16" t="s">
        <v>109</v>
      </c>
    </row>
    <row r="17" spans="9:9" x14ac:dyDescent="0.3">
      <c r="I17" t="s">
        <v>110</v>
      </c>
    </row>
  </sheetData>
  <conditionalFormatting sqref="D2:D8">
    <cfRule type="cellIs" dxfId="0" priority="1" operator="greaterThan">
      <formula>60000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Aditya Gupta</cp:lastModifiedBy>
  <dcterms:created xsi:type="dcterms:W3CDTF">2026-09-22T09:40:06Z</dcterms:created>
  <dcterms:modified xsi:type="dcterms:W3CDTF">2026-09-22T15:30:28Z</dcterms:modified>
</cp:coreProperties>
</file>